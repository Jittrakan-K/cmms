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ravit.chanpruet\Desktop\Voravit C\"/>
    </mc:Choice>
  </mc:AlternateContent>
  <xr:revisionPtr revIDLastSave="0" documentId="13_ncr:1_{DD3842DE-F995-4419-90C4-58944D02BFEF}" xr6:coauthVersionLast="47" xr6:coauthVersionMax="47" xr10:uidLastSave="{00000000-0000-0000-0000-000000000000}"/>
  <bookViews>
    <workbookView xWindow="-120" yWindow="-120" windowWidth="29040" windowHeight="15720" xr2:uid="{3810B8D1-1FD5-4F5D-B052-C99069909877}"/>
  </bookViews>
  <sheets>
    <sheet name="Job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1" l="1"/>
  <c r="A46" i="1"/>
  <c r="A47" i="1"/>
  <c r="A48" i="1"/>
  <c r="A49" i="1"/>
  <c r="B33" i="1" a="1"/>
  <c r="B33" i="1" s="1"/>
  <c r="B32" i="1" a="1"/>
  <c r="B32" i="1" s="1"/>
  <c r="B31" i="1" a="1"/>
  <c r="B31" i="1" s="1"/>
  <c r="B30" i="1" a="1"/>
  <c r="B30" i="1" s="1"/>
  <c r="B29" i="1" a="1"/>
  <c r="B29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C32" i="1" l="1" a="1"/>
  <c r="C32" i="1" s="1"/>
  <c r="C31" i="1" a="1"/>
  <c r="C31" i="1" s="1"/>
  <c r="C33" i="1" a="1"/>
  <c r="C33" i="1" s="1"/>
  <c r="C29" i="1" a="1"/>
  <c r="C29" i="1" s="1"/>
  <c r="C30" i="1" a="1"/>
  <c r="C30" i="1" s="1"/>
  <c r="D30" i="1" s="1"/>
  <c r="B46" i="1" s="1"/>
  <c r="D29" i="1" l="1"/>
  <c r="B45" i="1" s="1"/>
  <c r="D31" i="1"/>
  <c r="B47" i="1" s="1"/>
  <c r="D32" i="1"/>
  <c r="B48" i="1" s="1"/>
  <c r="D33" i="1"/>
  <c r="B4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<sst xmlns="http://schemas.openxmlformats.org/spreadsheetml/2006/main" count="104" uniqueCount="59">
  <si>
    <t>JR001</t>
  </si>
  <si>
    <t>Finished</t>
  </si>
  <si>
    <t>JR002</t>
  </si>
  <si>
    <t>JR003</t>
  </si>
  <si>
    <t>JR004</t>
  </si>
  <si>
    <t>Urgent</t>
  </si>
  <si>
    <t>JR005</t>
  </si>
  <si>
    <t>JR006</t>
  </si>
  <si>
    <t>JR007</t>
  </si>
  <si>
    <t>JR008</t>
  </si>
  <si>
    <t>JR009</t>
  </si>
  <si>
    <t>Nathapong S.</t>
  </si>
  <si>
    <t>Voravit C.</t>
  </si>
  <si>
    <t>Sarawut I.</t>
  </si>
  <si>
    <t>Sutthinan K.</t>
  </si>
  <si>
    <t>Nawapon M.</t>
  </si>
  <si>
    <t>Fan Ionizer</t>
  </si>
  <si>
    <t>พัดลมมีเสียงดัง</t>
  </si>
  <si>
    <t>B</t>
  </si>
  <si>
    <t>Chamfering</t>
  </si>
  <si>
    <t>A</t>
  </si>
  <si>
    <t>Beaing มีเสียงดัง</t>
  </si>
  <si>
    <t xml:space="preserve">
High</t>
  </si>
  <si>
    <t>Tumbling Barrel</t>
  </si>
  <si>
    <t>สลักหลุด</t>
  </si>
  <si>
    <t>Double Feegder</t>
  </si>
  <si>
    <t>หน้าจอดับ</t>
  </si>
  <si>
    <t>Rotary Ginder</t>
  </si>
  <si>
    <t>พิณหัก</t>
  </si>
  <si>
    <t>Iner Diameter</t>
  </si>
  <si>
    <t>Easy</t>
  </si>
  <si>
    <t>ตำแหน่ง Table 2 เคลื่อน</t>
  </si>
  <si>
    <t>Run Board</t>
  </si>
  <si>
    <t>E</t>
  </si>
  <si>
    <t>Switchไฟกระพริบ</t>
  </si>
  <si>
    <t>Switch Dispensor  ชำรุด</t>
  </si>
  <si>
    <t>Dispensor</t>
  </si>
  <si>
    <t>รายงานงานซ่อมบำรุง / MAINTENANCE JOB REPORT</t>
  </si>
  <si>
    <t>บันทึกงาน ช่างผู้รับผิดชอบ เวลาเริ่ม–สิ้นสุด และชั่วโมงหยุดเครื่อง / Track jobs, assigned technicians, start–end time and downtime</t>
  </si>
  <si>
    <t>วันที่ / Date</t>
  </si>
  <si>
    <t>เลขที่งาน / Job No.</t>
  </si>
  <si>
    <t>เครื่องจักร / Machine</t>
  </si>
  <si>
    <t>โรงงาน / Plant</t>
  </si>
  <si>
    <t>ปัญหา / Problem</t>
  </si>
  <si>
    <t>ช่างหลัก / Main Technician</t>
  </si>
  <si>
    <t>ช่าง 2 / Technician 2</t>
  </si>
  <si>
    <t>ช่าง 3 / Technician 3</t>
  </si>
  <si>
    <t>ช่าง 4 / Technician 4</t>
  </si>
  <si>
    <t>ช่าง 5 / Technician 5</t>
  </si>
  <si>
    <t>สถานะ / Status</t>
  </si>
  <si>
    <t>ความสำคัญ / Priority</t>
  </si>
  <si>
    <t>เริ่ม / Start</t>
  </si>
  <si>
    <t>สิ้นสุด / End</t>
  </si>
  <si>
    <t>เวลาหยุด (ชม.) / Downtime</t>
  </si>
  <si>
    <t>สรุปผลงานช่าง / TECHNICIAN SUMMARY</t>
  </si>
  <si>
    <t>ช่าง / Technician</t>
  </si>
  <si>
    <t>จำนวนงาน / Jobs</t>
  </si>
  <si>
    <t>ชั่วโมงรวม / Total Hours</t>
  </si>
  <si>
    <t>สัดส่วนชั่วโมง / Hours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</si>
</sst>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[$-409]d\-mmm\-yy;@"/>
    <numFmt numFmtId="170" formatCode="[h]:mm"/>
    <numFmt numFmtId="171" formatCode="dd\-mmm\-yyyy"/>
    <numFmt numFmtId="172" formatCode="0.0%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167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0" borderId="7" xfId="0" applyBorder="1"/>
    <xf numFmtId="0" fontId="3" fillId="2" borderId="9" xfId="0" applyFont="1" applyFill="1" applyBorder="1" applyAlignment="1">
      <alignment horizontal="center"/>
    </xf>
    <xf numFmtId="0" fontId="0" fillId="0" borderId="4" xfId="0" applyBorder="1"/>
    <xf numFmtId="0" fontId="0" fillId="0" borderId="8" xfId="0" applyBorder="1"/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wrapText="1"/>
    </xf>
    <xf numFmtId="167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7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1" fontId="0" fillId="0" borderId="3" xfId="0" applyNumberFormat="1" applyBorder="1"/>
    <xf numFmtId="170" fontId="0" fillId="0" borderId="3" xfId="0" applyNumberFormat="1" applyBorder="1"/>
    <xf numFmtId="1" fontId="0" fillId="0" borderId="2" xfId="0" applyNumberFormat="1" applyBorder="1"/>
    <xf numFmtId="170" fontId="0" fillId="0" borderId="2" xfId="0" applyNumberFormat="1" applyBorder="1"/>
    <xf numFmtId="0" fontId="3" fillId="4" borderId="0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 wrapText="1"/>
    </xf>
    <xf numFmtId="172" fontId="0" fillId="0" borderId="11" xfId="0" applyNumberFormat="1" applyBorder="1"/>
    <xf numFmtId="172" fontId="0" fillId="0" borderId="12" xfId="0" applyNumberFormat="1" applyBorder="1"/>
    <xf numFmtId="172" fontId="0" fillId="0" borderId="8" xfId="0" applyNumberFormat="1" applyBorder="1"/>
    <xf numFmtId="167" fontId="0" fillId="0" borderId="8" xfId="0" applyNumberFormat="1" applyBorder="1"/>
    <xf numFmtId="0" fontId="1" fillId="5" borderId="8" xfId="0" applyFont="1" applyFill="1" applyBorder="1"/>
  </cellXfs>
  <cellStyles count="1">
    <cellStyle name="Normal" xfId="0" builtinId="0"/>
  </cellStyles>
  <dxfs count="17">
    <dxf>
      <font>
        <b/>
        <color rgb="FFFFFFFF"/>
      </font>
      <fill>
        <patternFill patternType="solid">
          <fgColor indexed="64"/>
          <bgColor rgb="FF2F75B5"/>
        </patternFill>
      </fill>
      <alignment horizontal="center" vertical="center" wrapText="1"/>
    </dxf>
    <dxf>
      <alignment horizontal="left" vertical="center" textRotation="0" wrapText="1" indent="0" justifyLastLine="0" shrinkToFit="0" readingOrder="0"/>
    </dxf>
    <dxf>
      <numFmt numFmtId="170" formatCode="[h]:mm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71" formatCode="dd\-mmm\-yyyy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h-TH"/>
              <a:t>จำนวนงานต่อช่าง / </a:t>
            </a:r>
            <a:r>
              <a:rPr lang="en-US"/>
              <a:t>Jobs by Technician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01938256340547"/>
          <c:y val="1.1962328238381966E-3"/>
          <c:w val="0.88049668722539154"/>
          <c:h val="0.67088899181719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Job_Data!$B$28</c:f>
              <c:strCache>
                <c:ptCount val="1"/>
                <c:pt idx="0">
                  <c:v>จำนวนงาน / Jobs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Job_Data!$A$29:$A$33</c:f>
              <c:strCache>
                <c:ptCount val="5"/>
                <c:pt idx="0">
                  <c:v>Nathapong S.</c:v>
                </c:pt>
                <c:pt idx="1">
                  <c:v>Voravit C.</c:v>
                </c:pt>
                <c:pt idx="2">
                  <c:v>Sarawut I.</c:v>
                </c:pt>
                <c:pt idx="3">
                  <c:v>Sutthinan K.</c:v>
                </c:pt>
                <c:pt idx="4">
                  <c:v>Nawapon M.</c:v>
                </c:pt>
              </c:strCache>
            </c:strRef>
          </c:cat>
          <c:val>
            <c:numRef>
              <c:f>Job_Data!$B$29:$B$33</c:f>
              <c:numCache>
                <c:formatCode>0</c:formatCode>
                <c:ptCount val="5"/>
                <c:pt idx="0">
                  <c:v>6</c:v>
                </c:pt>
                <c:pt idx="1">
                  <c:v>8</c:v>
                </c:pt>
                <c:pt idx="2">
                  <c:v>0</c:v>
                </c:pt>
                <c:pt idx="3">
                  <c:v>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5-4A87-9D97-2A8842824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4732463"/>
        <c:axId val="1485206511"/>
      </c:barChart>
      <c:catAx>
        <c:axId val="114732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ช่าง / </a:t>
                </a:r>
                <a:r>
                  <a:rPr lang="en-US"/>
                  <a:t>Technician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06511"/>
        <c:crosses val="autoZero"/>
        <c:auto val="1"/>
        <c:lblAlgn val="ctr"/>
        <c:lblOffset val="100"/>
        <c:noMultiLvlLbl val="0"/>
      </c:catAx>
      <c:valAx>
        <c:axId val="148520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จำนวนงาน / </a:t>
                </a:r>
                <a:r>
                  <a:rPr lang="en-US"/>
                  <a:t>Jobs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3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สัดส่วนชั่วโมงต่อช่าง / </a:t>
            </a:r>
            <a:r>
              <a:rPr lang="en-US"/>
              <a:t>Share of Technician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Job_Data!$B$44</c:f>
              <c:strCache>
                <c:ptCount val="1"/>
                <c:pt idx="0">
                  <c:v>สัดส่วนชั่วโมง / Hours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numFmt formatCode="0%" sourceLinked="0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Job_Data!$A$45:$A$49</c:f>
              <c:strCache>
                <c:ptCount val="5"/>
                <c:pt idx="0">
                  <c:v>Nathapong S.</c:v>
                </c:pt>
                <c:pt idx="1">
                  <c:v>Voravit C.</c:v>
                </c:pt>
                <c:pt idx="2">
                  <c:v>Sarawut I.</c:v>
                </c:pt>
                <c:pt idx="3">
                  <c:v>Sutthinan K.</c:v>
                </c:pt>
                <c:pt idx="4">
                  <c:v>Nawapon M.</c:v>
                </c:pt>
              </c:strCache>
            </c:strRef>
          </c:cat>
          <c:val>
            <c:numRef>
              <c:f>Job_Data!$B$45:$B$49</c:f>
              <c:numCache>
                <c:formatCode>0.0%</c:formatCode>
                <c:ptCount val="5"/>
                <c:pt idx="0">
                  <c:v>0.19495798319327728</c:v>
                </c:pt>
                <c:pt idx="1">
                  <c:v>0.45602240896358542</c:v>
                </c:pt>
                <c:pt idx="2">
                  <c:v>0</c:v>
                </c:pt>
                <c:pt idx="3">
                  <c:v>1.6806722689075664E-2</c:v>
                </c:pt>
                <c:pt idx="4">
                  <c:v>0.33221288515406167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0-445C-98B5-DE3D16B708F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25</xdr:row>
      <xdr:rowOff>171450</xdr:rowOff>
    </xdr:from>
    <xdr:to>
      <xdr:col>11</xdr:col>
      <xdr:colOff>828675</xdr:colOff>
      <xdr:row>41</xdr:row>
      <xdr:rowOff>171450</xdr:rowOff>
    </xdr:to>
    <xdr:graphicFrame macro="">
      <xdr:nvGraphicFramePr>
        <xdr:cNvPr id="6" name="จำนวนงานต่อช่าง">
          <a:extLst>
            <a:ext uri="{FF2B5EF4-FFF2-40B4-BE49-F238E27FC236}">
              <a16:creationId xmlns:a16="http://schemas.microsoft.com/office/drawing/2014/main" id="{E30610BF-0814-F1AB-BA17-8FA0D6B57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352425</xdr:colOff>
      <xdr:row>43</xdr:row>
      <xdr:rowOff>0</xdr:rowOff>
    </xdr:from>
    <xdr:to>
      <xdr:col>11</xdr:col>
      <xdr:colOff>800100</xdr:colOff>
      <xdr:row>60</xdr:row>
      <xdr:rowOff>0</xdr:rowOff>
    </xdr:to>
    <xdr:graphicFrame macro="">
      <xdr:nvGraphicFramePr>
        <xdr:cNvPr id="7" name="สัดส่วนชั่วโมงต่อช่าง">
          <a:extLst>
            <a:ext uri="{FF2B5EF4-FFF2-40B4-BE49-F238E27FC236}">
              <a16:creationId xmlns:a16="http://schemas.microsoft.com/office/drawing/2014/main" id="{ED480BA7-204C-0075-8DEE-0F3948E1B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63D29-AD33-4718-9DE4-7DF44D02E32D}" name="JobTable" displayName="JobTable" ref="A3:O24" headerRowDxfId="0" dataDxfId="16">
  <autoFilter ref="A3:O24" xr:uid="{00000000-0009-0000-0100-000001000000}"/>
  <sortState xmlns:xlrd2="http://schemas.microsoft.com/office/spreadsheetml/2017/richdata2" ref="A4:O24">
    <sortCondition ref="K3:K24"/>
  </sortState>
  <tableColumns count="15">
    <tableColumn id="1" xr3:uid="{B29B389A-E922-482E-BFAB-8538F784E307}" name="วันที่ / Date" dataDxfId="15"/>
    <tableColumn id="2" xr3:uid="{D35F95CB-60E2-4A91-A383-E59EB46164D5}" name="เลขที่งาน / Job No." dataDxfId="14"/>
    <tableColumn id="3" xr3:uid="{0728A310-6FE9-41A3-8503-14847F4F3216}" name="เครื่องจักร / Machine" dataDxfId="13"/>
    <tableColumn id="15" xr3:uid="{6D16C5BD-AB0B-4D4E-AB3B-0EDFD5FE024C}" name="โรงงาน / Plant" dataDxfId="12"/>
    <tableColumn id="4" xr3:uid="{6F7C34D7-1E54-41C0-B75A-73246159C89F}" name="ปัญหา / Problem" dataDxfId="1"/>
    <tableColumn id="11" xr3:uid="{3A8D3924-D9CD-4355-BA4E-ABB2411D9995}" name="ช่างหลัก / Main Technician" dataDxfId="11"/>
    <tableColumn id="12" xr3:uid="{0BF50379-9440-4F31-AE7F-8C3EFC9B7C2F}" name="ช่าง 2 / Technician 2" dataDxfId="10"/>
    <tableColumn id="13" xr3:uid="{EF9AB2D1-192C-471C-8D6F-B79C99CEC5E3}" name="ช่าง 3 / Technician 3" dataDxfId="9"/>
    <tableColumn id="16" xr3:uid="{EDC83FB9-D96E-4B69-8F0E-002368141886}" name="ช่าง 4 / Technician 4" dataDxfId="8"/>
    <tableColumn id="14" xr3:uid="{69BBABC2-2F04-4FB2-9D97-68E1E3758915}" name="ช่าง 5 / Technician 5" dataDxfId="7"/>
    <tableColumn id="6" xr3:uid="{53D1CE0C-6E30-4F71-8307-339671513E5F}" name="สถานะ / Status" dataDxfId="6"/>
    <tableColumn id="7" xr3:uid="{5AE7B483-18C9-4BEC-BCCC-1DFADC22EC5C}" name="ความสำคัญ / Priority" dataDxfId="5"/>
    <tableColumn id="8" xr3:uid="{4E5CACA0-D9E1-4F69-B3A4-77E461F70F54}" name="เริ่ม / Start" dataDxfId="4"/>
    <tableColumn id="9" xr3:uid="{EACC396A-4210-4BCC-844F-20DDDB71F2A3}" name="สิ้นสุด / End" dataDxfId="3"/>
    <tableColumn id="10" xr3:uid="{11ED6689-71E9-417E-B16F-8546F2DD3527}" name="เวลาหยุด (ชม.) / Downtime" dataDxfId="2">
      <calculatedColumnFormula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ED5B-DE01-458B-A7D1-D1991792E0E3}">
  <dimension ref="A1:O50"/>
  <sheetViews>
    <sheetView tabSelected="1" workbookViewId="0">
      <selection activeCell="N48" sqref="N48"/>
    </sheetView>
  </sheetViews>
  <sheetFormatPr defaultRowHeight="15" x14ac:dyDescent="0.25"/>
  <cols>
    <col min="1" max="1" width="14.28515625" style="1" customWidth="1"/>
    <col min="2" max="2" width="13.7109375" customWidth="1"/>
    <col min="3" max="3" width="21.85546875" customWidth="1"/>
    <col min="4" max="4" width="12.42578125" customWidth="1"/>
    <col min="5" max="5" width="28.5703125" customWidth="1"/>
    <col min="6" max="6" width="24.7109375" customWidth="1"/>
    <col min="7" max="10" width="20" customWidth="1"/>
    <col min="11" max="11" width="15.5703125" customWidth="1"/>
    <col min="12" max="12" width="20.140625" customWidth="1"/>
    <col min="13" max="14" width="13.7109375" customWidth="1"/>
    <col min="15" max="15" width="20" customWidth="1"/>
    <col min="17" max="17" width="22.85546875" customWidth="1"/>
    <col min="18" max="18" width="17.140625" customWidth="1"/>
  </cols>
  <sheetData>
    <row r="1" spans="1:15" ht="48" customHeight="1" x14ac:dyDescent="0.25">
      <c r="A1" s="11" t="s">
        <v>37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30" customHeight="1" x14ac:dyDescent="0.25">
      <c r="A2" s="12" t="s">
        <v>38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33.950000000000003" customHeight="1" x14ac:dyDescent="0.25">
      <c r="A3" s="13" t="s">
        <v>39</v>
      </c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  <c r="L3" s="14" t="s">
        <v>50</v>
      </c>
      <c r="M3" s="14" t="s">
        <v>51</v>
      </c>
      <c r="N3" s="14" t="s">
        <v>52</v>
      </c>
      <c r="O3" s="14" t="s">
        <v>53</v>
      </c>
    </row>
    <row r="4" spans="1:15" x14ac:dyDescent="0.25">
      <c r="A4" s="15">
        <v>46268</v>
      </c>
      <c r="B4" s="2" t="s">
        <v>0</v>
      </c>
      <c r="C4" s="2" t="s">
        <v>27</v>
      </c>
      <c r="D4" s="3" t="s">
        <v>20</v>
      </c>
      <c r="E4" s="4" t="s">
        <v>28</v>
      </c>
      <c r="F4" s="3" t="s">
        <v>12</v>
      </c>
      <c r="G4" s="3" t="s">
        <v>11</v>
      </c>
      <c r="H4" s="3" t="s">
        <v>15</v>
      </c>
      <c r="I4" s="2"/>
      <c r="J4" s="2"/>
      <c r="K4" s="3" t="s">
        <v>1</v>
      </c>
      <c r="L4" s="3" t="s">
        <v>5</v>
      </c>
      <c r="M4" s="16">
        <v>12.5</v>
      </c>
      <c r="N4" s="16">
        <v>13.21</v>
      </c>
      <c r="O4" s="17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>2.1527777777777812E-2</v>
      </c>
    </row>
    <row r="5" spans="1:15" x14ac:dyDescent="0.25">
      <c r="A5" s="15">
        <v>46268</v>
      </c>
      <c r="B5" s="2" t="s">
        <v>2</v>
      </c>
      <c r="C5" s="2" t="s">
        <v>25</v>
      </c>
      <c r="D5" s="3" t="s">
        <v>20</v>
      </c>
      <c r="E5" s="4" t="s">
        <v>26</v>
      </c>
      <c r="F5" s="3" t="s">
        <v>12</v>
      </c>
      <c r="G5" s="3" t="s">
        <v>11</v>
      </c>
      <c r="H5" s="3" t="s">
        <v>15</v>
      </c>
      <c r="I5" s="2"/>
      <c r="J5" s="2"/>
      <c r="K5" s="3" t="s">
        <v>1</v>
      </c>
      <c r="L5" s="3" t="s">
        <v>5</v>
      </c>
      <c r="M5" s="16">
        <v>10.33</v>
      </c>
      <c r="N5" s="16">
        <v>11.54</v>
      </c>
      <c r="O5" s="17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>5.6250000000000022E-2</v>
      </c>
    </row>
    <row r="6" spans="1:15" x14ac:dyDescent="0.25">
      <c r="A6" s="15">
        <v>46268</v>
      </c>
      <c r="B6" s="2" t="s">
        <v>3</v>
      </c>
      <c r="C6" s="2" t="s">
        <v>23</v>
      </c>
      <c r="D6" s="3" t="s">
        <v>20</v>
      </c>
      <c r="E6" s="4" t="s">
        <v>24</v>
      </c>
      <c r="F6" s="3" t="s">
        <v>11</v>
      </c>
      <c r="G6" s="3" t="s">
        <v>12</v>
      </c>
      <c r="H6" s="3"/>
      <c r="I6" s="2"/>
      <c r="J6" s="2"/>
      <c r="K6" s="3" t="s">
        <v>1</v>
      </c>
      <c r="L6" s="3" t="s">
        <v>5</v>
      </c>
      <c r="M6" s="16">
        <v>14.45</v>
      </c>
      <c r="N6" s="16">
        <v>15</v>
      </c>
      <c r="O6" s="17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>1.041666666666663E-2</v>
      </c>
    </row>
    <row r="7" spans="1:15" x14ac:dyDescent="0.25">
      <c r="A7" s="15">
        <v>46269</v>
      </c>
      <c r="B7" s="2" t="s">
        <v>4</v>
      </c>
      <c r="C7" s="2" t="s">
        <v>36</v>
      </c>
      <c r="D7" s="3" t="s">
        <v>33</v>
      </c>
      <c r="E7" s="4" t="s">
        <v>35</v>
      </c>
      <c r="F7" s="3" t="s">
        <v>14</v>
      </c>
      <c r="G7" s="3"/>
      <c r="H7" s="3"/>
      <c r="I7" s="2"/>
      <c r="J7" s="2"/>
      <c r="K7" s="3" t="s">
        <v>1</v>
      </c>
      <c r="L7" s="3" t="s">
        <v>5</v>
      </c>
      <c r="M7" s="16">
        <v>9.3000000000000007</v>
      </c>
      <c r="N7" s="16">
        <v>10</v>
      </c>
      <c r="O7" s="17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>2.083333333333337E-2</v>
      </c>
    </row>
    <row r="8" spans="1:15" x14ac:dyDescent="0.25">
      <c r="A8" s="15">
        <v>46269</v>
      </c>
      <c r="B8" s="2" t="s">
        <v>6</v>
      </c>
      <c r="C8" s="2" t="s">
        <v>23</v>
      </c>
      <c r="D8" s="3" t="s">
        <v>20</v>
      </c>
      <c r="E8" s="4" t="s">
        <v>24</v>
      </c>
      <c r="F8" s="3" t="s">
        <v>11</v>
      </c>
      <c r="G8" s="3" t="s">
        <v>12</v>
      </c>
      <c r="H8" s="3"/>
      <c r="I8" s="2"/>
      <c r="J8" s="2"/>
      <c r="K8" s="3" t="s">
        <v>1</v>
      </c>
      <c r="L8" s="3" t="s">
        <v>5</v>
      </c>
      <c r="M8" s="16">
        <v>8.51</v>
      </c>
      <c r="N8" s="16">
        <v>10.39</v>
      </c>
      <c r="O8" s="17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>7.4999999999999956E-2</v>
      </c>
    </row>
    <row r="9" spans="1:15" x14ac:dyDescent="0.25">
      <c r="A9" s="15">
        <v>46269</v>
      </c>
      <c r="B9" s="2" t="s">
        <v>7</v>
      </c>
      <c r="C9" s="2" t="s">
        <v>19</v>
      </c>
      <c r="D9" s="3" t="s">
        <v>20</v>
      </c>
      <c r="E9" s="4" t="s">
        <v>21</v>
      </c>
      <c r="F9" s="3" t="s">
        <v>15</v>
      </c>
      <c r="G9" s="3" t="s">
        <v>12</v>
      </c>
      <c r="H9" s="3" t="s">
        <v>15</v>
      </c>
      <c r="I9" s="2"/>
      <c r="J9" s="2"/>
      <c r="K9" s="3" t="s">
        <v>1</v>
      </c>
      <c r="L9" s="3" t="s">
        <v>22</v>
      </c>
      <c r="M9" s="16">
        <v>10.48</v>
      </c>
      <c r="N9" s="16">
        <v>16.5</v>
      </c>
      <c r="O9" s="17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>0.25138888888888883</v>
      </c>
    </row>
    <row r="10" spans="1:15" x14ac:dyDescent="0.25">
      <c r="A10" s="15">
        <v>46269</v>
      </c>
      <c r="B10" s="2" t="s">
        <v>8</v>
      </c>
      <c r="C10" s="2" t="s">
        <v>29</v>
      </c>
      <c r="D10" s="3" t="s">
        <v>20</v>
      </c>
      <c r="E10" s="4" t="s">
        <v>34</v>
      </c>
      <c r="F10" s="3" t="s">
        <v>15</v>
      </c>
      <c r="G10" s="3" t="s">
        <v>11</v>
      </c>
      <c r="H10" s="3" t="s">
        <v>12</v>
      </c>
      <c r="I10" s="2"/>
      <c r="J10" s="2"/>
      <c r="K10" s="3" t="s">
        <v>1</v>
      </c>
      <c r="L10" s="3" t="s">
        <v>30</v>
      </c>
      <c r="M10" s="16">
        <v>11.1</v>
      </c>
      <c r="N10" s="16">
        <v>11.25</v>
      </c>
      <c r="O10" s="17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>1.041666666666663E-2</v>
      </c>
    </row>
    <row r="11" spans="1:15" x14ac:dyDescent="0.25">
      <c r="A11" s="15">
        <v>46270</v>
      </c>
      <c r="B11" s="2" t="s">
        <v>9</v>
      </c>
      <c r="C11" s="2" t="s">
        <v>16</v>
      </c>
      <c r="D11" s="3" t="s">
        <v>18</v>
      </c>
      <c r="E11" s="4" t="s">
        <v>17</v>
      </c>
      <c r="F11" s="3" t="s">
        <v>12</v>
      </c>
      <c r="G11" s="3" t="s">
        <v>15</v>
      </c>
      <c r="H11" s="3"/>
      <c r="I11" s="2"/>
      <c r="J11" s="2"/>
      <c r="K11" s="3" t="s">
        <v>1</v>
      </c>
      <c r="L11" s="3" t="s">
        <v>5</v>
      </c>
      <c r="M11" s="16">
        <v>8.4</v>
      </c>
      <c r="N11" s="16">
        <v>10.24</v>
      </c>
      <c r="O11" s="17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>7.2222222222222243E-2</v>
      </c>
    </row>
    <row r="12" spans="1:15" x14ac:dyDescent="0.25">
      <c r="A12" s="15">
        <v>46270</v>
      </c>
      <c r="B12" s="2" t="s">
        <v>10</v>
      </c>
      <c r="C12" s="2" t="s">
        <v>32</v>
      </c>
      <c r="D12" s="3" t="s">
        <v>33</v>
      </c>
      <c r="E12" s="4" t="s">
        <v>31</v>
      </c>
      <c r="F12" s="3" t="s">
        <v>11</v>
      </c>
      <c r="G12" s="3" t="s">
        <v>12</v>
      </c>
      <c r="H12" s="3"/>
      <c r="I12" s="2"/>
      <c r="J12" s="2"/>
      <c r="K12" s="3" t="s">
        <v>1</v>
      </c>
      <c r="L12" s="3" t="s">
        <v>5</v>
      </c>
      <c r="M12" s="16">
        <v>13.4</v>
      </c>
      <c r="N12" s="16">
        <v>15.18</v>
      </c>
      <c r="O12" s="17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>6.8055555555555536E-2</v>
      </c>
    </row>
    <row r="13" spans="1:15" x14ac:dyDescent="0.25">
      <c r="A13" s="15"/>
      <c r="B13" s="2"/>
      <c r="C13" s="2"/>
      <c r="D13" s="2"/>
      <c r="E13" s="4"/>
      <c r="F13" s="2"/>
      <c r="G13" s="2"/>
      <c r="H13" s="2"/>
      <c r="I13" s="2"/>
      <c r="J13" s="2"/>
      <c r="K13" s="2"/>
      <c r="L13" s="2"/>
      <c r="M13" s="16"/>
      <c r="N13" s="16"/>
      <c r="O13" s="17" t="str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/>
      </c>
    </row>
    <row r="14" spans="1:15" x14ac:dyDescent="0.25">
      <c r="A14" s="15"/>
      <c r="B14" s="2"/>
      <c r="C14" s="2"/>
      <c r="D14" s="2"/>
      <c r="E14" s="4"/>
      <c r="F14" s="2"/>
      <c r="G14" s="2"/>
      <c r="H14" s="2"/>
      <c r="I14" s="2"/>
      <c r="J14" s="2"/>
      <c r="K14" s="2"/>
      <c r="L14" s="2"/>
      <c r="M14" s="16"/>
      <c r="N14" s="16"/>
      <c r="O14" s="17" t="str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/>
      </c>
    </row>
    <row r="15" spans="1:15" x14ac:dyDescent="0.25">
      <c r="A15" s="15"/>
      <c r="B15" s="2"/>
      <c r="C15" s="2"/>
      <c r="D15" s="2"/>
      <c r="E15" s="4"/>
      <c r="F15" s="2"/>
      <c r="G15" s="2"/>
      <c r="H15" s="2"/>
      <c r="I15" s="2"/>
      <c r="J15" s="2"/>
      <c r="K15" s="2"/>
      <c r="L15" s="2"/>
      <c r="M15" s="16"/>
      <c r="N15" s="16"/>
      <c r="O15" s="17" t="str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/>
      </c>
    </row>
    <row r="16" spans="1:15" x14ac:dyDescent="0.25">
      <c r="A16" s="15"/>
      <c r="B16" s="2"/>
      <c r="C16" s="2"/>
      <c r="D16" s="2"/>
      <c r="E16" s="4"/>
      <c r="F16" s="2"/>
      <c r="G16" s="2"/>
      <c r="H16" s="2"/>
      <c r="I16" s="2"/>
      <c r="J16" s="2"/>
      <c r="K16" s="2"/>
      <c r="L16" s="2"/>
      <c r="M16" s="16"/>
      <c r="N16" s="16"/>
      <c r="O16" s="17" t="str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/>
      </c>
    </row>
    <row r="17" spans="1:15" x14ac:dyDescent="0.25">
      <c r="A17" s="15"/>
      <c r="B17" s="2"/>
      <c r="C17" s="2"/>
      <c r="D17" s="2"/>
      <c r="E17" s="4"/>
      <c r="F17" s="2"/>
      <c r="G17" s="2"/>
      <c r="H17" s="2"/>
      <c r="I17" s="2"/>
      <c r="J17" s="2"/>
      <c r="K17" s="2"/>
      <c r="L17" s="2"/>
      <c r="M17" s="16"/>
      <c r="N17" s="16"/>
      <c r="O17" s="17" t="str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/>
      </c>
    </row>
    <row r="18" spans="1:15" x14ac:dyDescent="0.25">
      <c r="A18" s="15"/>
      <c r="B18" s="2"/>
      <c r="C18" s="2"/>
      <c r="D18" s="2"/>
      <c r="E18" s="4"/>
      <c r="F18" s="2"/>
      <c r="G18" s="2"/>
      <c r="H18" s="2"/>
      <c r="I18" s="2"/>
      <c r="J18" s="2"/>
      <c r="K18" s="2"/>
      <c r="L18" s="2"/>
      <c r="M18" s="16"/>
      <c r="N18" s="16"/>
      <c r="O18" s="17" t="str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/>
      </c>
    </row>
    <row r="19" spans="1:15" x14ac:dyDescent="0.25">
      <c r="A19" s="15"/>
      <c r="B19" s="2"/>
      <c r="C19" s="2"/>
      <c r="D19" s="2"/>
      <c r="E19" s="4"/>
      <c r="F19" s="2"/>
      <c r="G19" s="2"/>
      <c r="H19" s="2"/>
      <c r="I19" s="2"/>
      <c r="J19" s="2"/>
      <c r="K19" s="2"/>
      <c r="L19" s="2"/>
      <c r="M19" s="16"/>
      <c r="N19" s="16"/>
      <c r="O19" s="17" t="str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/>
      </c>
    </row>
    <row r="20" spans="1:15" x14ac:dyDescent="0.25">
      <c r="A20" s="15"/>
      <c r="B20" s="2"/>
      <c r="C20" s="2"/>
      <c r="D20" s="2"/>
      <c r="E20" s="4"/>
      <c r="F20" s="2"/>
      <c r="G20" s="2"/>
      <c r="H20" s="2"/>
      <c r="I20" s="2"/>
      <c r="J20" s="2"/>
      <c r="K20" s="2"/>
      <c r="L20" s="2"/>
      <c r="M20" s="16"/>
      <c r="N20" s="16"/>
      <c r="O20" s="17" t="str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/>
      </c>
    </row>
    <row r="21" spans="1:15" x14ac:dyDescent="0.25">
      <c r="A21" s="15"/>
      <c r="B21" s="2"/>
      <c r="C21" s="2"/>
      <c r="D21" s="2"/>
      <c r="E21" s="4"/>
      <c r="F21" s="2"/>
      <c r="G21" s="2"/>
      <c r="H21" s="2"/>
      <c r="I21" s="2"/>
      <c r="J21" s="2"/>
      <c r="K21" s="2"/>
      <c r="L21" s="2"/>
      <c r="M21" s="16"/>
      <c r="N21" s="16"/>
      <c r="O21" s="17" t="str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/>
      </c>
    </row>
    <row r="22" spans="1:15" x14ac:dyDescent="0.25">
      <c r="A22" s="15"/>
      <c r="B22" s="2"/>
      <c r="C22" s="2"/>
      <c r="D22" s="2"/>
      <c r="E22" s="4"/>
      <c r="F22" s="2"/>
      <c r="G22" s="2"/>
      <c r="H22" s="2"/>
      <c r="I22" s="2"/>
      <c r="J22" s="2"/>
      <c r="K22" s="2"/>
      <c r="L22" s="2"/>
      <c r="M22" s="16"/>
      <c r="N22" s="16"/>
      <c r="O22" s="17" t="str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/>
      </c>
    </row>
    <row r="23" spans="1:15" x14ac:dyDescent="0.25">
      <c r="A23" s="15"/>
      <c r="B23" s="2"/>
      <c r="C23" s="2"/>
      <c r="D23" s="2"/>
      <c r="E23" s="4"/>
      <c r="F23" s="2"/>
      <c r="G23" s="2"/>
      <c r="H23" s="2"/>
      <c r="I23" s="2"/>
      <c r="J23" s="2"/>
      <c r="K23" s="2"/>
      <c r="L23" s="2"/>
      <c r="M23" s="16"/>
      <c r="N23" s="16"/>
      <c r="O23" s="17" t="str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/>
      </c>
    </row>
    <row r="24" spans="1:15" x14ac:dyDescent="0.25">
      <c r="A24" s="15"/>
      <c r="B24" s="2"/>
      <c r="C24" s="2"/>
      <c r="D24" s="2"/>
      <c r="E24" s="4"/>
      <c r="F24" s="2"/>
      <c r="G24" s="2"/>
      <c r="H24" s="2"/>
      <c r="I24" s="2"/>
      <c r="J24" s="2"/>
      <c r="K24" s="2"/>
      <c r="L24" s="2"/>
      <c r="M24" s="16"/>
      <c r="N24" s="16"/>
      <c r="O24" s="17" t="str">
        <f>IF(OR(JobTable[[#This Row],[เริ่ม / Start]]="",JobTable[[#This Row],[สิ้นสุด / End]]=""),"",MOD(TIME(INT(JobTable[[#This Row],[สิ้นสุด / End]]),ROUND(MOD(JobTable[[#This Row],[สิ้นสุด / End]],1)*100,0),0)-TIME(INT(JobTable[[#This Row],[เริ่ม / Start]]),ROUND(MOD(JobTable[[#This Row],[เริ่ม / Start]],1)*100,0),0),1))</f>
        <v/>
      </c>
    </row>
    <row r="27" spans="1:15" x14ac:dyDescent="0.25">
      <c r="A27" s="6" t="s">
        <v>54</v>
      </c>
      <c r="B27" s="5"/>
      <c r="C27" s="5"/>
      <c r="D27" s="8"/>
    </row>
    <row r="28" spans="1:15" ht="30" customHeight="1" x14ac:dyDescent="0.25">
      <c r="A28" s="23" t="s">
        <v>55</v>
      </c>
      <c r="B28" s="22" t="s">
        <v>56</v>
      </c>
      <c r="C28" s="22" t="s">
        <v>57</v>
      </c>
      <c r="D28" s="24" t="s">
        <v>58</v>
      </c>
    </row>
    <row r="29" spans="1:15" x14ac:dyDescent="0.25">
      <c r="A29" s="7" t="s">
        <v>11</v>
      </c>
      <c r="B29" s="18" cm="1">
        <f t="array" ref="B29">SUMPRODUCT(--(((JobTable[ช่างหลัก / Main Technician]=A29)+(JobTable[ช่าง 2 / Technician 2]=A29)+(JobTable[ช่าง 3 / Technician 3]=A29)+(JobTable[ช่าง 4 / Technician 4]=A29)+(JobTable[ช่าง 5 / Technician 5]=A29))&gt;0))</f>
        <v>6</v>
      </c>
      <c r="C29" s="19" cm="1">
        <f t="array" ref="C29">SUMPRODUCT(--(((JobTable[ช่างหลัก / Main Technician]=A29)+(JobTable[ช่าง 2 / Technician 2]=A29)+(JobTable[ช่าง 3 / Technician 3]=A29)+(JobTable[ช่าง 4 / Technician 4]=A29)+(JobTable[ช่าง 5 / Technician 5]=A29))&gt;0),JobTable[เวลาหยุด (ชม.) / Downtime])</f>
        <v>0.24166666666666659</v>
      </c>
      <c r="D29" s="25">
        <f>IFERROR(C29/SUM($C$29:$C$33),0)</f>
        <v>0.19495798319327728</v>
      </c>
    </row>
    <row r="30" spans="1:15" x14ac:dyDescent="0.25">
      <c r="A30" s="9" t="s">
        <v>12</v>
      </c>
      <c r="B30" s="20" cm="1">
        <f t="array" ref="B30">SUMPRODUCT(--(((JobTable[ช่างหลัก / Main Technician]=A30)+(JobTable[ช่าง 2 / Technician 2]=A30)+(JobTable[ช่าง 3 / Technician 3]=A30)+(JobTable[ช่าง 4 / Technician 4]=A30)+(JobTable[ช่าง 5 / Technician 5]=A30))&gt;0))</f>
        <v>8</v>
      </c>
      <c r="C30" s="21" cm="1">
        <f t="array" ref="C30">SUMPRODUCT(--(((JobTable[ช่างหลัก / Main Technician]=A30)+(JobTable[ช่าง 2 / Technician 2]=A30)+(JobTable[ช่าง 3 / Technician 3]=A30)+(JobTable[ช่าง 4 / Technician 4]=A30)+(JobTable[ช่าง 5 / Technician 5]=A30))&gt;0),JobTable[เวลาหยุด (ชม.) / Downtime])</f>
        <v>0.56527777777777766</v>
      </c>
      <c r="D30" s="26">
        <f>IFERROR(C30/SUM($C$29:$C$33),0)</f>
        <v>0.45602240896358542</v>
      </c>
    </row>
    <row r="31" spans="1:15" x14ac:dyDescent="0.25">
      <c r="A31" s="9" t="s">
        <v>13</v>
      </c>
      <c r="B31" s="20" cm="1">
        <f t="array" ref="B31">SUMPRODUCT(--(((JobTable[ช่างหลัก / Main Technician]=A31)+(JobTable[ช่าง 2 / Technician 2]=A31)+(JobTable[ช่าง 3 / Technician 3]=A31)+(JobTable[ช่าง 4 / Technician 4]=A31)+(JobTable[ช่าง 5 / Technician 5]=A31))&gt;0))</f>
        <v>0</v>
      </c>
      <c r="C31" s="21" cm="1">
        <f t="array" ref="C31">SUMPRODUCT(--(((JobTable[ช่างหลัก / Main Technician]=A31)+(JobTable[ช่าง 2 / Technician 2]=A31)+(JobTable[ช่าง 3 / Technician 3]=A31)+(JobTable[ช่าง 4 / Technician 4]=A31)+(JobTable[ช่าง 5 / Technician 5]=A31))&gt;0),JobTable[เวลาหยุด (ชม.) / Downtime])</f>
        <v>0</v>
      </c>
      <c r="D31" s="26">
        <f>IFERROR(C31/SUM($C$29:$C$33),0)</f>
        <v>0</v>
      </c>
    </row>
    <row r="32" spans="1:15" x14ac:dyDescent="0.25">
      <c r="A32" s="9" t="s">
        <v>14</v>
      </c>
      <c r="B32" s="20" cm="1">
        <f t="array" ref="B32">SUMPRODUCT(--(((JobTable[ช่างหลัก / Main Technician]=A32)+(JobTable[ช่าง 2 / Technician 2]=A32)+(JobTable[ช่าง 3 / Technician 3]=A32)+(JobTable[ช่าง 4 / Technician 4]=A32)+(JobTable[ช่าง 5 / Technician 5]=A32))&gt;0))</f>
        <v>1</v>
      </c>
      <c r="C32" s="21" cm="1">
        <f t="array" ref="C32">SUMPRODUCT(--(((JobTable[ช่างหลัก / Main Technician]=A32)+(JobTable[ช่าง 2 / Technician 2]=A32)+(JobTable[ช่าง 3 / Technician 3]=A32)+(JobTable[ช่าง 4 / Technician 4]=A32)+(JobTable[ช่าง 5 / Technician 5]=A32))&gt;0),JobTable[เวลาหยุด (ชม.) / Downtime])</f>
        <v>2.083333333333337E-2</v>
      </c>
      <c r="D32" s="26">
        <f>IFERROR(C32/SUM($C$29:$C$33),0)</f>
        <v>1.6806722689075664E-2</v>
      </c>
    </row>
    <row r="33" spans="1:4" x14ac:dyDescent="0.25">
      <c r="A33" s="9" t="s">
        <v>15</v>
      </c>
      <c r="B33" s="20" cm="1">
        <f t="array" ref="B33">SUMPRODUCT(--(((JobTable[ช่างหลัก / Main Technician]=A33)+(JobTable[ช่าง 2 / Technician 2]=A33)+(JobTable[ช่าง 3 / Technician 3]=A33)+(JobTable[ช่าง 4 / Technician 4]=A33)+(JobTable[ช่าง 5 / Technician 5]=A33))&gt;0))</f>
        <v>5</v>
      </c>
      <c r="C33" s="21" cm="1">
        <f t="array" ref="C33">SUMPRODUCT(--(((JobTable[ช่างหลัก / Main Technician]=A33)+(JobTable[ช่าง 2 / Technician 2]=A33)+(JobTable[ช่าง 3 / Technician 3]=A33)+(JobTable[ช่าง 4 / Technician 4]=A33)+(JobTable[ช่าง 5 / Technician 5]=A33))&gt;0),JobTable[เวลาหยุด (ชม.) / Downtime])</f>
        <v>0.41180555555555554</v>
      </c>
      <c r="D33" s="26">
        <f>IFERROR(C33/SUM($C$29:$C$33),0)</f>
        <v>0.33221288515406167</v>
      </c>
    </row>
    <row r="44" spans="1:4" x14ac:dyDescent="0.25">
      <c r="A44" s="29" t="s">
        <v>55</v>
      </c>
      <c r="B44" s="29" t="s">
        <v>58</v>
      </c>
      <c r="C44" s="29"/>
    </row>
    <row r="45" spans="1:4" x14ac:dyDescent="0.25">
      <c r="A45" s="10" t="str">
        <f>A29</f>
        <v>Nathapong S.</v>
      </c>
      <c r="B45" s="27">
        <f>D29</f>
        <v>0.19495798319327728</v>
      </c>
      <c r="C45" s="10"/>
    </row>
    <row r="46" spans="1:4" x14ac:dyDescent="0.25">
      <c r="A46" s="10" t="str">
        <f>A30</f>
        <v>Voravit C.</v>
      </c>
      <c r="B46" s="27">
        <f>D30</f>
        <v>0.45602240896358542</v>
      </c>
      <c r="C46" s="10"/>
    </row>
    <row r="47" spans="1:4" x14ac:dyDescent="0.25">
      <c r="A47" s="10" t="str">
        <f>A31</f>
        <v>Sarawut I.</v>
      </c>
      <c r="B47" s="27">
        <f>D31</f>
        <v>0</v>
      </c>
      <c r="C47" s="10"/>
    </row>
    <row r="48" spans="1:4" x14ac:dyDescent="0.25">
      <c r="A48" s="10" t="str">
        <f>A32</f>
        <v>Sutthinan K.</v>
      </c>
      <c r="B48" s="27">
        <f>D32</f>
        <v>1.6806722689075664E-2</v>
      </c>
      <c r="C48" s="10"/>
    </row>
    <row r="49" spans="1:3" x14ac:dyDescent="0.25">
      <c r="A49" s="10" t="str">
        <f>A33</f>
        <v>Nawapon M.</v>
      </c>
      <c r="B49" s="27">
        <f>D33</f>
        <v>0.33221288515406167</v>
      </c>
      <c r="C49" s="10"/>
    </row>
    <row r="50" spans="1:3" x14ac:dyDescent="0.25">
      <c r="A50" s="28"/>
      <c r="B50" s="10"/>
      <c r="C50" s="10"/>
    </row>
  </sheetData>
  <mergeCells count="3">
    <mergeCell ref="A1:O1"/>
    <mergeCell ref="A2:O2"/>
    <mergeCell ref="A27:D27"/>
  </mergeCells>
  <phoneticPr fontId="2" type="noConversion"/>
  <dataValidations count="1">
    <dataValidation type="list" allowBlank="1" showInputMessage="1" showErrorMessage="1" sqref="F4:J24" xr:uid="{DAF1B17B-99B2-4686-A1A1-CDAC1F1765AC}">
      <formula1>$F$1:$F$2</formula1>
    </dataValidation>
  </dataValidation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Job_Data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Voravit Chanpruet</cp:lastModifiedBy>
  <dcterms:created xsi:type="dcterms:W3CDTF">2026-09-08T01:04:57Z</dcterms:created>
  <dcterms:modified xsi:type="dcterms:W3CDTF">2026-09-08T02:28:34Z</dcterms:modified>
</cp:coreProperties>
</file>